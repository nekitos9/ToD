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опросы" sheetId="1" state="visible" r:id="rId3"/>
    <sheet name="Паки" sheetId="2" state="visible" r:id="rId4"/>
    <sheet name="Грани" sheetId="3" state="visible" r:id="rId5"/>
    <sheet name="Действ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<sst xmlns="http://schemas.openxmlformats.org/spreadsheetml/2006/main" count="520" uniqueCount="145">
  <si>
    <t xml:space="preserve">id</t>
  </si>
  <si>
    <t xml:space="preserve">Вопрос</t>
  </si>
  <si>
    <t xml:space="preserve">ПД</t>
  </si>
  <si>
    <t xml:space="preserve">Пак</t>
  </si>
  <si>
    <t xml:space="preserve">Грань</t>
  </si>
  <si>
    <t xml:space="preserve">Отношения</t>
  </si>
  <si>
    <t xml:space="preserve">Другие игроки</t>
  </si>
  <si>
    <t xml:space="preserve">Выебал(а) бы *PLAYER*?</t>
  </si>
  <si>
    <t xml:space="preserve">Правда</t>
  </si>
  <si>
    <t xml:space="preserve">Спайси</t>
  </si>
  <si>
    <t xml:space="preserve">Нет</t>
  </si>
  <si>
    <t xml:space="preserve">Правд</t>
  </si>
  <si>
    <t xml:space="preserve">Набирай на телефоне *PHONE_NUM* и говори: «Я тут подъехал(а), жду вас».</t>
  </si>
  <si>
    <t xml:space="preserve">Действие</t>
  </si>
  <si>
    <t xml:space="preserve">Другие люди</t>
  </si>
  <si>
    <t xml:space="preserve">Да</t>
  </si>
  <si>
    <t xml:space="preserve">Действий</t>
  </si>
  <si>
    <t xml:space="preserve">Открывай галерею, начинай быстро листать фотки перед игроками. Останавливаешься, когда тебе говорят «Стоп».</t>
  </si>
  <si>
    <t xml:space="preserve">Личное-публичное</t>
  </si>
  <si>
    <t xml:space="preserve">Обычный</t>
  </si>
  <si>
    <t xml:space="preserve">Садишься на колени к *PLAYER* и сидишь 5 минут, по таймеру.</t>
  </si>
  <si>
    <t xml:space="preserve">Поцелуй с *PLAYER*. Нормальный поцелуй. Минута. Таймер.</t>
  </si>
  <si>
    <t xml:space="preserve">Включи последнюю песню, которая играла на телефоне.</t>
  </si>
  <si>
    <t xml:space="preserve">Горячий</t>
  </si>
  <si>
    <t xml:space="preserve">Отправляй смс-ку «С днем рождения!» на *PHONE_NUM*.</t>
  </si>
  <si>
    <t xml:space="preserve">Нижний мир</t>
  </si>
  <si>
    <t xml:space="preserve">Попробуй потверкать.</t>
  </si>
  <si>
    <t xml:space="preserve">Улица</t>
  </si>
  <si>
    <t xml:space="preserve">Самый глупый поступок в твоей жизни?</t>
  </si>
  <si>
    <t xml:space="preserve">Безграничная улица</t>
  </si>
  <si>
    <t xml:space="preserve">Засунь руку в карман к *PLAYER*. Сидите так 10 минут. Задания выполнять тоже так. Вынимать нельзя.</t>
  </si>
  <si>
    <t xml:space="preserve">Читай последнее отправленное сообщение вслух. Если это кружок или голосовое — включаешь.</t>
  </si>
  <si>
    <t xml:space="preserve">Соси палец *PLAYER*, как будто это член.</t>
  </si>
  <si>
    <t xml:space="preserve">Стрельни сигарету. Курить не обязательно.</t>
  </si>
  <si>
    <t xml:space="preserve">Обними дерево. Объединись с природой.</t>
  </si>
  <si>
    <t xml:space="preserve">Попроси у прохожих любую сумму денег.</t>
  </si>
  <si>
    <t xml:space="preserve">Были серьезные мысли о том, чтобы кого-то убить? Никаких шуток.</t>
  </si>
  <si>
    <t xml:space="preserve">Делишь людей на категории?</t>
  </si>
  <si>
    <t xml:space="preserve">Ложишь прямо на землю там, где проходят люди и смотри YouTube. Делай вид, что прям кайфуешь от происходящего.</t>
  </si>
  <si>
    <t xml:space="preserve">Маленькими укусами пройди от мочки уха *PLAYER* до ключиц.</t>
  </si>
  <si>
    <t xml:space="preserve">Лизни кончик носа *PLAYER*.</t>
  </si>
  <si>
    <t xml:space="preserve">Ты ложишься на бок, а *PLAYER* обнимает тебя сзади, обязательно закидывая на тебя руку и ногу. 10 минут. Если за столом, тогда ты садишься на *PLAYER*, прямо лицом к лицу.</t>
  </si>
  <si>
    <t xml:space="preserve">Когда ты последний раз радовался чужой неудаче? Почему?</t>
  </si>
  <si>
    <t xml:space="preserve">Какой недостаток *PLAYER* тебя раздражает сильнее всего?</t>
  </si>
  <si>
    <t xml:space="preserve">Без шуток. Тебе звонит *PLAYER* и плачет, говорит, что убил(а) человека. Свидетелей нет, все сделано аккуратно, но нужно помочь избавиться от тела. Поедешь?</t>
  </si>
  <si>
    <t xml:space="preserve">Событие, которое разделило твою жизнь на ДО и ПОСЛЕ?</t>
  </si>
  <si>
    <t xml:space="preserve">Самый уродливый человек, с которым ты спал(а). Не забудь про историю знакомства.</t>
  </si>
  <si>
    <t xml:space="preserve">Когда-нибудь дрочил(а) вне дома? Где?</t>
  </si>
  <si>
    <t xml:space="preserve">Заходи в кафе или магазин и спроси какой сейчас год. Внимательно посмотри на человека и отворачиваясь и уходя скажи «Работает!».</t>
  </si>
  <si>
    <t xml:space="preserve">Целочка</t>
  </si>
  <si>
    <t xml:space="preserve">Последний раз, когда ты плакал(а). Почему?</t>
  </si>
  <si>
    <t xml:space="preserve">Расскажи о последнем предательстве или пренебрежении, которое было у тебя в жизни</t>
  </si>
  <si>
    <t xml:space="preserve">Какие у тебя фетиши? Выкладывай.</t>
  </si>
  <si>
    <t xml:space="preserve">На что ты последний раз мастурбировал(а)? Детали.</t>
  </si>
  <si>
    <t xml:space="preserve">Полный раж</t>
  </si>
  <si>
    <t xml:space="preserve">Что тебе снилось в последний раз?</t>
  </si>
  <si>
    <t xml:space="preserve">Какая была твоя самая гомосексуальная мысль? (Либо гетеросексуальная, если ты уже смешарик).</t>
  </si>
  <si>
    <t xml:space="preserve">Выкопай ямку и закопай туда любой предмет, а затем нарисуй  карту сокровищ.</t>
  </si>
  <si>
    <t xml:space="preserve">Подойди к незнакомцу и заговори с ним. На любую тему.</t>
  </si>
  <si>
    <t xml:space="preserve">Кого ты больше всего не любишь в этой комнате?</t>
  </si>
  <si>
    <t xml:space="preserve">Подойди к любой бабуле и спроси, верит ли она в императора.</t>
  </si>
  <si>
    <t xml:space="preserve">Скажи что-то хорошее о каждом в этой комнате.</t>
  </si>
  <si>
    <t xml:space="preserve">Если бы ты стал владеть невидимостью, что бы ты сделал первым?</t>
  </si>
  <si>
    <t xml:space="preserve">Самая странная фигня, которую ты ел или пил.</t>
  </si>
  <si>
    <t xml:space="preserve">Был ли в твоей жизни момент, когда ты на полном серьезе думал «Я сейчас умру».</t>
  </si>
  <si>
    <t xml:space="preserve">Закрывай глаза и пускай *PLAYER* положит тебе в рот любой съедобный предмет. Попытайся угадать, что это. Не забудь сказать, если у тебя на что-то аллергия.</t>
  </si>
  <si>
    <t xml:space="preserve">Что самое ебанутое ты вводил в поиск или спрашивал у нейросети?</t>
  </si>
  <si>
    <t xml:space="preserve">Какая самая странная вещь тебя когда-либо возбуждала.</t>
  </si>
  <si>
    <t xml:space="preserve">Был ли у тебя секс с человеком, с которым ты вообще не собирался заниматься сексом? Расскажи.</t>
  </si>
  <si>
    <t xml:space="preserve">Самое неловкое сообщение, которое ты отправлял, когда был пьяный.</t>
  </si>
  <si>
    <t xml:space="preserve">Самое наглое, что ты делал и тебя не поймали.</t>
  </si>
  <si>
    <t xml:space="preserve">Если бы ты сейчас передал свой телефон *PLAYER*, то какое приложение ты бы первым делом стер?</t>
  </si>
  <si>
    <t xml:space="preserve">Отдай свой телефон *PLAYER*, он выбирает любую фотку из галереи за последнюю неделю. Ты должен её объяснить.</t>
  </si>
  <si>
    <t xml:space="preserve">Садись на колени к *PLAYER* и сиди там до своего следующего хода.</t>
  </si>
  <si>
    <t xml:space="preserve">Пускай остальные выберут человека за столом. Скажи ему на ухо такое, от чего он вздрогнет или покраснеет.</t>
  </si>
  <si>
    <t xml:space="preserve">Показывай последние пять запросов в истории браузера. Удалять, чистить или сначала посмотреть — запрещено.</t>
  </si>
  <si>
    <t xml:space="preserve">Поцелуй *PLAYER* так, как поцеловал бы человека на первом свидании.</t>
  </si>
  <si>
    <t xml:space="preserve">Встаньте с *PLAYER* лицом к лицу максимально близко и смотрите друг другу в глаза. Кто первый засмеется — тот проиграл. </t>
  </si>
  <si>
    <t xml:space="preserve">Когда-то занимался потребительским терроризмом? Расскажи последний раз.</t>
  </si>
  <si>
    <t xml:space="preserve">Какая была самая большая разница в возрасте с одним из твоих сексуальных партнеров?</t>
  </si>
  <si>
    <t xml:space="preserve">Покажи всему столу десятую фотографию с галереи, если листать с последней. Нельзя заранее смотреть какая она.</t>
  </si>
  <si>
    <t xml:space="preserve">Открой список тех, кто у тебя в ЧС в твоем самом используемом мессенджере. Расскажи почему занес в ЧС последнего человека.</t>
  </si>
  <si>
    <t xml:space="preserve">*PLAYER* выбирает, поцелуешь ты его в лоб, в щеку или в шею.</t>
  </si>
  <si>
    <t xml:space="preserve">Чей профиль ты в последний раз открывал и случайно боялся поставить лайк?</t>
  </si>
  <si>
    <t xml:space="preserve">Если бы *PLAYER* прямо сейчас предложил бы тебе поцеловаться, а после игры вы бы просто об этом забыли. Согласился бы?</t>
  </si>
  <si>
    <t xml:space="preserve">Открой контакты. Стол выбирает любого человека. Расскажи откуда его знаешь.</t>
  </si>
  <si>
    <t xml:space="preserve">Сядь между ног *PLAYER* и спиной к нему. Оставайся так до своего следующего хода.</t>
  </si>
  <si>
    <t xml:space="preserve">Ложись к *PLAYER* головой на колени и лежи так до следующего хода.</t>
  </si>
  <si>
    <t xml:space="preserve">Показывай последний скриншот. Зачем ты его сделал?</t>
  </si>
  <si>
    <t xml:space="preserve">Самое незаконное, что ты постоянно делаешь.</t>
  </si>
  <si>
    <t xml:space="preserve">Когда последний раз отправлял обнаженку? Кому?</t>
  </si>
  <si>
    <t xml:space="preserve">Покажи свою самую старую фотку, которую найдешь.</t>
  </si>
  <si>
    <t xml:space="preserve">Покажи последнюю сохраненную картинку.</t>
  </si>
  <si>
    <t xml:space="preserve">Покажи экран блокировки и рабочий стол. Расскажи, почему именно эти фотографии</t>
  </si>
  <si>
    <t xml:space="preserve">Открой историю просмотра YouTube и покажи 5 последних просмотренных видео.</t>
  </si>
  <si>
    <t xml:space="preserve">Включай последнее отправленное голосовое сообщение или кружок.</t>
  </si>
  <si>
    <t xml:space="preserve">Пусть *PLAYER* назовет любое слово. Забивай его в поиск по сообщениям и показывай столу, что вышло. Проверять, что вышло нельзя.</t>
  </si>
  <si>
    <t xml:space="preserve">Расскажи о первых в жизни заработанных деньгах.</t>
  </si>
  <si>
    <t xml:space="preserve">Самое хреновое место, где приходилось переночевать.</t>
  </si>
  <si>
    <t xml:space="preserve">Тебя когда-то принимала полиция? Расскажи. Если нет, расскажи самое близкое к этому.</t>
  </si>
  <si>
    <t xml:space="preserve">Звони на *PHONE_NUM* и на полном серьезе спроси «Где ты?». Отвечай на любые вопросы так, как будто у тебя реально запланирована встреча с этим человеком.</t>
  </si>
  <si>
    <t xml:space="preserve">Ты когда-то записывал что-то в крысу, чтобы потом использовать это против человека? Расскажи.</t>
  </si>
  <si>
    <t xml:space="preserve">Ты когда-то отправлял свой интим не тому человеку? Что было дальше?</t>
  </si>
  <si>
    <t xml:space="preserve">Ты когда-то воровал? Что именно?</t>
  </si>
  <si>
    <t xml:space="preserve">Найди последнее сообщение «Я дома» и расскажи историю, где ты был и кому его написал.</t>
  </si>
  <si>
    <t xml:space="preserve">Какую самую большую хуйню ты делал на работе, пока начальство не видело, что ты не работаешь?</t>
  </si>
  <si>
    <t xml:space="preserve">Самое странное место, где ты занимался сексом.</t>
  </si>
  <si>
    <t xml:space="preserve">Позвони в любую службу доставки и спроси, доставляют ли они обнимашки.</t>
  </si>
  <si>
    <t xml:space="preserve">Самая ебнутая сексуальная фантазия. Без фильтров.</t>
  </si>
  <si>
    <t xml:space="preserve">Выбирай любую песню, включай её и от начала до конца подпевай.</t>
  </si>
  <si>
    <t xml:space="preserve">В какую странную хуйню тебя заставляли верить родители?</t>
  </si>
  <si>
    <t xml:space="preserve">Расскажи про максимально странного человека из твоей жизни.</t>
  </si>
  <si>
    <t xml:space="preserve">Что другие люди называют «токсичным», а ты считаешь это совершенно нормальным?</t>
  </si>
  <si>
    <t xml:space="preserve">Какие правила «взрослых» тебя максимально бесят?</t>
  </si>
  <si>
    <t xml:space="preserve">Нарисуй себе на лбу маркером слово «Идиот». Отсылка к Достоевскому.</t>
  </si>
  <si>
    <t xml:space="preserve">Что самое бесполезное ты помнишь наизусть?</t>
  </si>
  <si>
    <t xml:space="preserve">Какой поступок человека ты один раз заметишь, второй раз простишь, а в третий просто исчезнешь?</t>
  </si>
  <si>
    <t xml:space="preserve">Было ли такое, что после встречи с человеком ты понял - я выброшу его из своей жизни навсегда?</t>
  </si>
  <si>
    <t xml:space="preserve">Какие черты должен иметь человек, чтобы ты считал его биомусором?</t>
  </si>
  <si>
    <t xml:space="preserve">До следующего твоего хода ты похотливая нимфоманка "Энджи". Каждый раунд ты говоришь что-то в стиле персонажа. Начинай прямо сейчас.</t>
  </si>
  <si>
    <t xml:space="preserve">*PLAYER*  рисует тебе «временную татуировку».</t>
  </si>
  <si>
    <t xml:space="preserve">Коснитесь языками с *PLAYER* .</t>
  </si>
  <si>
    <t xml:space="preserve">Подойди к прохожему и попроси выбрать число от одного до десяти.</t>
  </si>
  <si>
    <t xml:space="preserve">Возьми любую еду и съешь без помощи рук.</t>
  </si>
  <si>
    <t xml:space="preserve">Клади на голову любой плоский предмет и пройди с ним от стены до стены. Уронил — заново.</t>
  </si>
  <si>
    <t xml:space="preserve">Покажи последние пять покупок на OZON, WB или другом маркетплейсе.</t>
  </si>
  <si>
    <t xml:space="preserve">Паки</t>
  </si>
  <si>
    <t xml:space="preserve">Суть</t>
  </si>
  <si>
    <t xml:space="preserve">Стандартные задания и вопросы, немного неловкие, но ничего страшного</t>
  </si>
  <si>
    <t xml:space="preserve">Задания, связанные с более личными вещами. Включают в себя показ контента с ваших устройств.</t>
  </si>
  <si>
    <t xml:space="preserve">Задания и вопросы, связанные с двусмысленным намеками, небольшим взаимодействием с перчинкой между игроками</t>
  </si>
  <si>
    <t xml:space="preserve">Задания и вопросы, связанные с прямым полуэротическом взаимодействием в виде поцелуем, объятий, частичной наготы</t>
  </si>
  <si>
    <t xml:space="preserve">Вопросы, раскрывающие вашу подноготную.</t>
  </si>
  <si>
    <t xml:space="preserve">Вопросы и действия, учитывающие, что игра ведется на улице. Лайтовые, просто на улице</t>
  </si>
  <si>
    <t xml:space="preserve">То же, что и улица, но вам будет немного стыдно.</t>
  </si>
  <si>
    <t xml:space="preserve">Действия, допускающие взаимодействие с людьми вне игры, по телефону.</t>
  </si>
  <si>
    <t xml:space="preserve">Грани</t>
  </si>
  <si>
    <t xml:space="preserve">Ур</t>
  </si>
  <si>
    <t xml:space="preserve">Описание</t>
  </si>
  <si>
    <t xml:space="preserve">Самый скучный, как и вы. Никаких более-менее сложных заданий. Нет прикосновений. Нет взаимодействий</t>
  </si>
  <si>
    <t xml:space="preserve">Название говорит само за себя. Есть взаимодействия и прикосновения, но совсем легкие</t>
  </si>
  <si>
    <t xml:space="preserve">Нет ограничений. Делайте со мной что хотите.</t>
  </si>
  <si>
    <t xml:space="preserve">Описание </t>
  </si>
  <si>
    <t xml:space="preserve">Обычная правда</t>
  </si>
  <si>
    <t xml:space="preserve">Обычное действие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</si>
</sst>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2"/>
      <name val="Liberation Serif;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3" activePane="bottomLeft" state="frozen"/>
      <selection pane="topLeft" activeCell="A1" activeCellId="0" sqref="A1"/>
      <selection pane="bottomLeft" activeCell="B102" activeCellId="0" sqref="B10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2" width="55.78"/>
    <col collapsed="false" customWidth="true" hidden="false" outlineLevel="0" max="3" min="3" style="3" width="9.73"/>
    <col collapsed="false" customWidth="true" hidden="false" outlineLevel="0" max="4" min="4" style="4" width="19.47"/>
    <col collapsed="false" customWidth="true" hidden="false" outlineLevel="0" max="5" min="5" style="4" width="11.7"/>
    <col collapsed="false" customWidth="false" hidden="false" outlineLevel="0" max="6" min="6" style="3" width="11.53"/>
    <col collapsed="false" customWidth="true" hidden="false" outlineLevel="0" max="7" min="7" style="3" width="14.06"/>
    <col collapsed="false" customWidth="true" hidden="false" outlineLevel="0" max="8" min="8" style="4" width="9.6"/>
    <col collapsed="false" customWidth="true" hidden="false" outlineLevel="0" max="9" min="9" style="4" width="19.89"/>
    <col collapsed="false" customWidth="true" hidden="false" outlineLevel="0" max="10" min="10" style="4" width="8.48"/>
    <col collapsed="false" customWidth="true" hidden="false" outlineLevel="0" max="11" min="11" style="4" width="9.6"/>
    <col collapsed="false" customWidth="true" hidden="false" outlineLevel="0" max="12" min="12" style="4" width="94.88"/>
  </cols>
  <sheetData>
    <row r="1" customFormat="false" ht="18.45" hidden="false" customHeight="tru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J1" s="2"/>
      <c r="K1" s="2"/>
      <c r="L1" s="2"/>
    </row>
    <row r="2" customFormat="false" ht="18.45" hidden="false" customHeight="true" outlineLevel="0" collapsed="false">
      <c r="A2" s="7" t="n">
        <v>1</v>
      </c>
      <c r="B2" s="8" t="s">
        <v>7</v>
      </c>
      <c r="C2" s="9" t="s">
        <v>8</v>
      </c>
      <c r="D2" s="9" t="s">
        <v>9</v>
      </c>
      <c r="E2" s="10" t="str">
        <f aca="false">Грани!A3</f>
        <v>Обычный</v>
      </c>
      <c r="F2" s="7" t="s">
        <v>10</v>
      </c>
      <c r="G2" s="7" t="n">
        <v>1</v>
      </c>
      <c r="H2" s="2"/>
      <c r="I2" s="11" t="s">
        <v>11</v>
      </c>
      <c r="J2" s="12" t="n">
        <f aca="false">COUNTIF($C$2:$C$1000,"Правда")</f>
        <v>49</v>
      </c>
      <c r="K2" s="2"/>
      <c r="L2" s="2"/>
    </row>
    <row r="3" customFormat="false" ht="29.5" hidden="false" customHeight="true" outlineLevel="0" collapsed="false">
      <c r="A3" s="7" t="n">
        <v>2</v>
      </c>
      <c r="B3" s="8" t="s">
        <v>12</v>
      </c>
      <c r="C3" s="9" t="s">
        <v>13</v>
      </c>
      <c r="D3" s="9" t="s">
        <v>14</v>
      </c>
      <c r="E3" s="10" t="str">
        <f aca="false">Грани!A2</f>
        <v>Целочка</v>
      </c>
      <c r="F3" s="7" t="s">
        <v>15</v>
      </c>
      <c r="G3" s="7" t="n">
        <v>0</v>
      </c>
      <c r="H3" s="2"/>
      <c r="I3" s="11" t="s">
        <v>16</v>
      </c>
      <c r="J3" s="13" t="n">
        <f aca="false">COUNTIF($C$2:$C$1000,"Действие")</f>
        <v>54</v>
      </c>
      <c r="K3" s="2"/>
      <c r="L3" s="2"/>
    </row>
    <row r="4" customFormat="false" ht="29.5" hidden="false" customHeight="true" outlineLevel="0" collapsed="false">
      <c r="A4" s="7" t="n">
        <v>3</v>
      </c>
      <c r="B4" s="8" t="s">
        <v>17</v>
      </c>
      <c r="C4" s="9" t="s">
        <v>13</v>
      </c>
      <c r="D4" s="9" t="s">
        <v>18</v>
      </c>
      <c r="E4" s="10" t="str">
        <f aca="false">Грани!A3</f>
        <v>Обычный</v>
      </c>
      <c r="F4" s="7" t="s">
        <v>15</v>
      </c>
      <c r="G4" s="7" t="n">
        <v>0</v>
      </c>
      <c r="H4" s="2"/>
      <c r="I4" s="14" t="s">
        <v>19</v>
      </c>
      <c r="J4" s="12" t="n">
        <f aca="false">COUNTIF($D$2:$D$1000,I4)</f>
        <v>33</v>
      </c>
      <c r="K4" s="2"/>
      <c r="L4" s="2"/>
    </row>
    <row r="5" customFormat="false" ht="18.45" hidden="false" customHeight="true" outlineLevel="0" collapsed="false">
      <c r="A5" s="7" t="n">
        <v>4</v>
      </c>
      <c r="B5" s="8" t="s">
        <v>20</v>
      </c>
      <c r="C5" s="9" t="s">
        <v>13</v>
      </c>
      <c r="D5" s="9" t="s">
        <v>9</v>
      </c>
      <c r="E5" s="10" t="str">
        <f aca="false">Грани!A3</f>
        <v>Обычный</v>
      </c>
      <c r="F5" s="7" t="s">
        <v>10</v>
      </c>
      <c r="G5" s="7" t="n">
        <v>1</v>
      </c>
      <c r="H5" s="2"/>
      <c r="I5" s="14" t="s">
        <v>18</v>
      </c>
      <c r="J5" s="13" t="n">
        <f aca="false">COUNTIF($D$2:$D$1000,I5)</f>
        <v>16</v>
      </c>
      <c r="K5" s="2"/>
      <c r="L5" s="2"/>
    </row>
    <row r="6" customFormat="false" ht="18.45" hidden="false" customHeight="true" outlineLevel="0" collapsed="false">
      <c r="A6" s="7" t="n">
        <v>5</v>
      </c>
      <c r="B6" s="8" t="s">
        <v>21</v>
      </c>
      <c r="C6" s="9" t="s">
        <v>13</v>
      </c>
      <c r="D6" s="9" t="str">
        <f aca="false">Паки!A5</f>
        <v>Горячий</v>
      </c>
      <c r="E6" s="10" t="str">
        <f aca="false">Грани!A4</f>
        <v>Полный раж</v>
      </c>
      <c r="F6" s="7" t="s">
        <v>10</v>
      </c>
      <c r="G6" s="7" t="n">
        <v>1</v>
      </c>
      <c r="H6" s="2"/>
      <c r="I6" s="14" t="s">
        <v>9</v>
      </c>
      <c r="J6" s="13" t="n">
        <f aca="false">COUNTIF($D$2:$D$1000,I6)</f>
        <v>12</v>
      </c>
      <c r="K6" s="2"/>
      <c r="L6" s="2"/>
    </row>
    <row r="7" customFormat="false" ht="18.45" hidden="false" customHeight="true" outlineLevel="0" collapsed="false">
      <c r="A7" s="7" t="n">
        <v>6</v>
      </c>
      <c r="B7" s="8" t="s">
        <v>22</v>
      </c>
      <c r="C7" s="9" t="s">
        <v>13</v>
      </c>
      <c r="D7" s="9" t="str">
        <f aca="false">Паки!A2</f>
        <v>Обычный</v>
      </c>
      <c r="E7" s="10" t="str">
        <f aca="false">Грани!A2</f>
        <v>Целочка</v>
      </c>
      <c r="F7" s="7" t="s">
        <v>15</v>
      </c>
      <c r="G7" s="7" t="n">
        <v>0</v>
      </c>
      <c r="H7" s="2"/>
      <c r="I7" s="14" t="s">
        <v>23</v>
      </c>
      <c r="J7" s="13" t="n">
        <f aca="false">COUNTIF($D$2:$D$1000,I7)</f>
        <v>17</v>
      </c>
      <c r="K7" s="2"/>
      <c r="L7" s="2"/>
    </row>
    <row r="8" customFormat="false" ht="18.45" hidden="false" customHeight="true" outlineLevel="0" collapsed="false">
      <c r="A8" s="7" t="n">
        <v>7</v>
      </c>
      <c r="B8" s="8" t="s">
        <v>24</v>
      </c>
      <c r="C8" s="9" t="s">
        <v>13</v>
      </c>
      <c r="D8" s="9" t="str">
        <f aca="false">Паки!A9</f>
        <v>Другие люди</v>
      </c>
      <c r="E8" s="10" t="str">
        <f aca="false">Грани!A2</f>
        <v>Целочка</v>
      </c>
      <c r="F8" s="7" t="s">
        <v>15</v>
      </c>
      <c r="G8" s="7" t="n">
        <v>0</v>
      </c>
      <c r="H8" s="2"/>
      <c r="I8" s="14" t="s">
        <v>25</v>
      </c>
      <c r="J8" s="13" t="n">
        <f aca="false">COUNTIF($D$2:$D$1000,I8)</f>
        <v>12</v>
      </c>
      <c r="K8" s="2"/>
      <c r="L8" s="2"/>
    </row>
    <row r="9" customFormat="false" ht="18.45" hidden="false" customHeight="true" outlineLevel="0" collapsed="false">
      <c r="A9" s="7" t="n">
        <v>8</v>
      </c>
      <c r="B9" s="8" t="s">
        <v>26</v>
      </c>
      <c r="C9" s="9" t="s">
        <v>13</v>
      </c>
      <c r="D9" s="9" t="str">
        <f aca="false">Паки!A2</f>
        <v>Обычный</v>
      </c>
      <c r="E9" s="10" t="str">
        <f aca="false">Грани!A3</f>
        <v>Обычный</v>
      </c>
      <c r="F9" s="7" t="s">
        <v>10</v>
      </c>
      <c r="G9" s="7" t="n">
        <v>0</v>
      </c>
      <c r="H9" s="2"/>
      <c r="I9" s="14" t="s">
        <v>27</v>
      </c>
      <c r="J9" s="13" t="n">
        <f aca="false">COUNTIF($D$2:$D$1000,I9)</f>
        <v>5</v>
      </c>
      <c r="K9" s="2"/>
      <c r="L9" s="2"/>
    </row>
    <row r="10" customFormat="false" ht="18.45" hidden="false" customHeight="true" outlineLevel="0" collapsed="false">
      <c r="A10" s="7" t="n">
        <v>9</v>
      </c>
      <c r="B10" s="8" t="s">
        <v>28</v>
      </c>
      <c r="C10" s="9" t="s">
        <v>8</v>
      </c>
      <c r="D10" s="9" t="str">
        <f aca="false">Паки!A2</f>
        <v>Обычный</v>
      </c>
      <c r="E10" s="10" t="str">
        <f aca="false">Грани!A2</f>
        <v>Целочка</v>
      </c>
      <c r="F10" s="7" t="s">
        <v>15</v>
      </c>
      <c r="G10" s="7" t="n">
        <v>0</v>
      </c>
      <c r="H10" s="2"/>
      <c r="I10" s="14" t="s">
        <v>29</v>
      </c>
      <c r="J10" s="13" t="n">
        <f aca="false">COUNTIF($D$2:$D$1000,I10)</f>
        <v>4</v>
      </c>
      <c r="K10" s="2"/>
      <c r="L10" s="2"/>
    </row>
    <row r="11" customFormat="false" ht="29.5" hidden="false" customHeight="true" outlineLevel="0" collapsed="false">
      <c r="A11" s="7" t="n">
        <v>10</v>
      </c>
      <c r="B11" s="8" t="s">
        <v>30</v>
      </c>
      <c r="C11" s="9" t="s">
        <v>13</v>
      </c>
      <c r="D11" s="9" t="str">
        <f aca="false">Паки!A4</f>
        <v>Спайси</v>
      </c>
      <c r="E11" s="10" t="str">
        <f aca="false">Грани!A3</f>
        <v>Обычный</v>
      </c>
      <c r="F11" s="7" t="s">
        <v>10</v>
      </c>
      <c r="G11" s="7" t="n">
        <v>1</v>
      </c>
      <c r="H11" s="2"/>
      <c r="I11" s="14" t="s">
        <v>14</v>
      </c>
      <c r="J11" s="13" t="n">
        <f aca="false">COUNTIF($D$2:$D$1000,Паки!A9)</f>
        <v>4</v>
      </c>
      <c r="K11" s="2"/>
      <c r="L11" s="2"/>
    </row>
    <row r="12" customFormat="false" ht="29.5" hidden="false" customHeight="true" outlineLevel="0" collapsed="false">
      <c r="A12" s="7" t="n">
        <v>11</v>
      </c>
      <c r="B12" s="8" t="s">
        <v>31</v>
      </c>
      <c r="C12" s="9" t="s">
        <v>13</v>
      </c>
      <c r="D12" s="9" t="str">
        <f aca="false">Паки!A3</f>
        <v>Личное-публичное</v>
      </c>
      <c r="E12" s="10" t="str">
        <f aca="false">Грани!A2</f>
        <v>Целочка</v>
      </c>
      <c r="F12" s="7" t="s">
        <v>15</v>
      </c>
      <c r="G12" s="7" t="n">
        <v>0</v>
      </c>
      <c r="H12" s="2"/>
      <c r="J12" s="2"/>
      <c r="K12" s="2"/>
      <c r="L12" s="2"/>
    </row>
    <row r="13" customFormat="false" ht="18.45" hidden="false" customHeight="true" outlineLevel="0" collapsed="false">
      <c r="A13" s="7" t="n">
        <v>12</v>
      </c>
      <c r="B13" s="8" t="s">
        <v>32</v>
      </c>
      <c r="C13" s="9" t="s">
        <v>13</v>
      </c>
      <c r="D13" s="9" t="str">
        <f aca="false">Паки!A5</f>
        <v>Горячий</v>
      </c>
      <c r="E13" s="10" t="str">
        <f aca="false">Грани!A4</f>
        <v>Полный раж</v>
      </c>
      <c r="F13" s="7" t="s">
        <v>10</v>
      </c>
      <c r="G13" s="7" t="n">
        <v>1</v>
      </c>
      <c r="H13" s="2"/>
      <c r="I13" s="2"/>
      <c r="J13" s="2"/>
      <c r="K13" s="2"/>
      <c r="L13" s="2"/>
    </row>
    <row r="14" customFormat="false" ht="18.45" hidden="false" customHeight="true" outlineLevel="0" collapsed="false">
      <c r="A14" s="7" t="n">
        <v>13</v>
      </c>
      <c r="B14" s="8" t="s">
        <v>33</v>
      </c>
      <c r="C14" s="9" t="s">
        <v>13</v>
      </c>
      <c r="D14" s="9" t="str">
        <f aca="false">Паки!A7</f>
        <v>Улица</v>
      </c>
      <c r="E14" s="10" t="str">
        <f aca="false">Грани!A3</f>
        <v>Обычный</v>
      </c>
      <c r="F14" s="7" t="s">
        <v>15</v>
      </c>
      <c r="G14" s="7" t="n">
        <v>0</v>
      </c>
      <c r="H14" s="2"/>
      <c r="I14" s="2"/>
      <c r="J14" s="2"/>
      <c r="K14" s="2"/>
      <c r="L14" s="2"/>
    </row>
    <row r="15" customFormat="false" ht="18.45" hidden="false" customHeight="true" outlineLevel="0" collapsed="false">
      <c r="A15" s="7" t="n">
        <v>14</v>
      </c>
      <c r="B15" s="8" t="s">
        <v>34</v>
      </c>
      <c r="C15" s="9" t="s">
        <v>13</v>
      </c>
      <c r="D15" s="9" t="str">
        <f aca="false">Паки!A7</f>
        <v>Улица</v>
      </c>
      <c r="E15" s="10" t="str">
        <f aca="false">Грани!A2</f>
        <v>Целочка</v>
      </c>
      <c r="F15" s="7" t="s">
        <v>15</v>
      </c>
      <c r="G15" s="7" t="n">
        <v>0</v>
      </c>
      <c r="H15" s="2"/>
      <c r="I15" s="2"/>
      <c r="J15" s="2"/>
      <c r="K15" s="2"/>
      <c r="L15" s="2"/>
    </row>
    <row r="16" customFormat="false" ht="18.45" hidden="false" customHeight="true" outlineLevel="0" collapsed="false">
      <c r="A16" s="7" t="n">
        <v>15</v>
      </c>
      <c r="B16" s="8" t="s">
        <v>35</v>
      </c>
      <c r="C16" s="9" t="s">
        <v>13</v>
      </c>
      <c r="D16" s="9" t="str">
        <f aca="false">Паки!A7</f>
        <v>Улица</v>
      </c>
      <c r="E16" s="10" t="str">
        <f aca="false">Грани!A4</f>
        <v>Полный раж</v>
      </c>
      <c r="F16" s="7" t="s">
        <v>15</v>
      </c>
      <c r="G16" s="7" t="n">
        <v>0</v>
      </c>
      <c r="H16" s="2"/>
      <c r="I16" s="2"/>
      <c r="J16" s="2"/>
      <c r="K16" s="2"/>
      <c r="L16" s="2"/>
    </row>
    <row r="17" customFormat="false" ht="31.55" hidden="false" customHeight="true" outlineLevel="0" collapsed="false">
      <c r="A17" s="7" t="n">
        <v>16</v>
      </c>
      <c r="B17" s="8" t="s">
        <v>36</v>
      </c>
      <c r="C17" s="9" t="s">
        <v>8</v>
      </c>
      <c r="D17" s="9" t="str">
        <f aca="false">Паки!A6</f>
        <v>Нижний мир</v>
      </c>
      <c r="E17" s="10" t="str">
        <f aca="false">Грани!A3</f>
        <v>Обычный</v>
      </c>
      <c r="F17" s="7" t="s">
        <v>15</v>
      </c>
      <c r="G17" s="7" t="n">
        <v>0</v>
      </c>
      <c r="H17" s="2"/>
      <c r="I17" s="2"/>
      <c r="J17" s="2"/>
      <c r="K17" s="2"/>
      <c r="L17" s="2"/>
    </row>
    <row r="18" customFormat="false" ht="12.8" hidden="false" customHeight="false" outlineLevel="0" collapsed="false">
      <c r="A18" s="7" t="n">
        <v>17</v>
      </c>
      <c r="B18" s="15" t="s">
        <v>37</v>
      </c>
      <c r="C18" s="16" t="s">
        <v>8</v>
      </c>
      <c r="D18" s="9" t="str">
        <f aca="false">Паки!A6</f>
        <v>Нижний мир</v>
      </c>
      <c r="E18" s="10" t="str">
        <f aca="false">Грани!A3</f>
        <v>Обычный</v>
      </c>
      <c r="F18" s="7" t="s">
        <v>15</v>
      </c>
      <c r="G18" s="7" t="n">
        <v>0</v>
      </c>
    </row>
    <row r="19" customFormat="false" ht="28.3" hidden="false" customHeight="true" outlineLevel="0" collapsed="false">
      <c r="A19" s="7" t="n">
        <v>18</v>
      </c>
      <c r="B19" s="15" t="s">
        <v>38</v>
      </c>
      <c r="C19" s="16" t="s">
        <v>13</v>
      </c>
      <c r="D19" s="9" t="str">
        <f aca="false">Паки!A8</f>
        <v>Безграничная улица</v>
      </c>
      <c r="E19" s="10" t="str">
        <f aca="false">Грани!A4</f>
        <v>Полный раж</v>
      </c>
      <c r="F19" s="7" t="s">
        <v>15</v>
      </c>
      <c r="G19" s="16" t="n">
        <v>0</v>
      </c>
    </row>
    <row r="20" customFormat="false" ht="12.8" hidden="false" customHeight="false" outlineLevel="0" collapsed="false">
      <c r="A20" s="7" t="n">
        <v>19</v>
      </c>
      <c r="B20" s="15" t="s">
        <v>39</v>
      </c>
      <c r="C20" s="16" t="s">
        <v>13</v>
      </c>
      <c r="D20" s="9" t="str">
        <f aca="false">Паки!A5</f>
        <v>Горячий</v>
      </c>
      <c r="E20" s="10" t="str">
        <f aca="false">Грани!A4</f>
        <v>Полный раж</v>
      </c>
      <c r="F20" s="16" t="s">
        <v>10</v>
      </c>
      <c r="G20" s="16" t="n">
        <v>1</v>
      </c>
    </row>
    <row r="21" customFormat="false" ht="12.8" hidden="false" customHeight="false" outlineLevel="0" collapsed="false">
      <c r="A21" s="7" t="n">
        <v>20</v>
      </c>
      <c r="B21" s="15" t="s">
        <v>40</v>
      </c>
      <c r="C21" s="16" t="s">
        <v>13</v>
      </c>
      <c r="D21" s="9" t="str">
        <f aca="false">Паки!A5</f>
        <v>Горячий</v>
      </c>
      <c r="E21" s="10" t="str">
        <f aca="false">Грани!A3</f>
        <v>Обычный</v>
      </c>
      <c r="F21" s="16" t="s">
        <v>10</v>
      </c>
      <c r="G21" s="16" t="n">
        <v>1</v>
      </c>
    </row>
    <row r="22" customFormat="false" ht="34.85" hidden="false" customHeight="false" outlineLevel="0" collapsed="false">
      <c r="A22" s="7" t="n">
        <v>21</v>
      </c>
      <c r="B22" s="15" t="s">
        <v>41</v>
      </c>
      <c r="C22" s="17" t="s">
        <v>13</v>
      </c>
      <c r="D22" s="9" t="str">
        <f aca="false">Паки!A5</f>
        <v>Горячий</v>
      </c>
      <c r="E22" s="10" t="str">
        <f aca="false">Грани!A4</f>
        <v>Полный раж</v>
      </c>
      <c r="F22" s="17" t="s">
        <v>10</v>
      </c>
      <c r="G22" s="17" t="n">
        <v>1</v>
      </c>
    </row>
    <row r="23" customFormat="false" ht="12.8" hidden="false" customHeight="false" outlineLevel="0" collapsed="false">
      <c r="A23" s="7" t="n">
        <v>22</v>
      </c>
      <c r="B23" s="15" t="s">
        <v>42</v>
      </c>
      <c r="C23" s="16" t="s">
        <v>8</v>
      </c>
      <c r="D23" s="9" t="str">
        <f aca="false">Паки!A6</f>
        <v>Нижний мир</v>
      </c>
      <c r="E23" s="10" t="str">
        <f aca="false">Грани!A3</f>
        <v>Обычный</v>
      </c>
      <c r="F23" s="17" t="s">
        <v>15</v>
      </c>
      <c r="G23" s="18" t="n">
        <v>0</v>
      </c>
    </row>
    <row r="24" customFormat="false" ht="12.8" hidden="false" customHeight="false" outlineLevel="0" collapsed="false">
      <c r="A24" s="7" t="n">
        <v>23</v>
      </c>
      <c r="B24" s="19" t="s">
        <v>43</v>
      </c>
      <c r="C24" s="16" t="s">
        <v>8</v>
      </c>
      <c r="D24" s="9" t="str">
        <f aca="false">Паки!A6</f>
        <v>Нижний мир</v>
      </c>
      <c r="E24" s="10" t="str">
        <f aca="false">Грани!A3</f>
        <v>Обычный</v>
      </c>
      <c r="F24" s="17" t="s">
        <v>15</v>
      </c>
      <c r="G24" s="18" t="n">
        <v>1</v>
      </c>
    </row>
    <row r="25" customFormat="false" ht="35.05" hidden="false" customHeight="false" outlineLevel="0" collapsed="false">
      <c r="A25" s="7" t="n">
        <v>24</v>
      </c>
      <c r="B25" s="15" t="s">
        <v>44</v>
      </c>
      <c r="C25" s="16" t="s">
        <v>8</v>
      </c>
      <c r="D25" s="9" t="s">
        <v>25</v>
      </c>
      <c r="E25" s="10" t="str">
        <f aca="false">Грани!A3</f>
        <v>Обычный</v>
      </c>
      <c r="F25" s="16" t="s">
        <v>15</v>
      </c>
      <c r="G25" s="18" t="n">
        <v>1</v>
      </c>
    </row>
    <row r="26" customFormat="false" ht="12.9" hidden="false" customHeight="false" outlineLevel="0" collapsed="false">
      <c r="A26" s="7" t="n">
        <v>25</v>
      </c>
      <c r="B26" s="15" t="s">
        <v>45</v>
      </c>
      <c r="C26" s="16" t="s">
        <v>8</v>
      </c>
      <c r="D26" s="9" t="str">
        <f aca="false">Паки!A2</f>
        <v>Обычный</v>
      </c>
      <c r="E26" s="10" t="str">
        <f aca="false">Грани!A3</f>
        <v>Обычный</v>
      </c>
      <c r="F26" s="16" t="s">
        <v>15</v>
      </c>
      <c r="G26" s="18" t="n">
        <v>0</v>
      </c>
    </row>
    <row r="27" customFormat="false" ht="23.85" hidden="false" customHeight="false" outlineLevel="0" collapsed="false">
      <c r="A27" s="7" t="n">
        <v>26</v>
      </c>
      <c r="B27" s="15" t="s">
        <v>46</v>
      </c>
      <c r="C27" s="16" t="s">
        <v>8</v>
      </c>
      <c r="D27" s="20" t="s">
        <v>9</v>
      </c>
      <c r="E27" s="20" t="s">
        <v>19</v>
      </c>
      <c r="F27" s="16" t="s">
        <v>15</v>
      </c>
      <c r="G27" s="16" t="n">
        <v>0</v>
      </c>
    </row>
    <row r="28" customFormat="false" ht="12.8" hidden="false" customHeight="false" outlineLevel="0" collapsed="false">
      <c r="A28" s="7" t="n">
        <v>27</v>
      </c>
      <c r="B28" s="15" t="s">
        <v>47</v>
      </c>
      <c r="C28" s="16" t="s">
        <v>8</v>
      </c>
      <c r="D28" s="20" t="s">
        <v>9</v>
      </c>
      <c r="E28" s="20" t="s">
        <v>19</v>
      </c>
      <c r="F28" s="16" t="s">
        <v>15</v>
      </c>
      <c r="G28" s="16" t="n">
        <v>0</v>
      </c>
    </row>
    <row r="29" customFormat="false" ht="35.05" hidden="false" customHeight="false" outlineLevel="0" collapsed="false">
      <c r="A29" s="7" t="n">
        <v>28</v>
      </c>
      <c r="B29" s="15" t="s">
        <v>48</v>
      </c>
      <c r="C29" s="20" t="s">
        <v>13</v>
      </c>
      <c r="D29" s="20" t="s">
        <v>27</v>
      </c>
      <c r="E29" s="20" t="s">
        <v>49</v>
      </c>
      <c r="F29" s="16" t="s">
        <v>15</v>
      </c>
      <c r="G29" s="16" t="n">
        <v>0</v>
      </c>
    </row>
    <row r="30" customFormat="false" ht="12.8" hidden="false" customHeight="false" outlineLevel="0" collapsed="false">
      <c r="A30" s="7" t="n">
        <v>29</v>
      </c>
      <c r="B30" s="15" t="s">
        <v>50</v>
      </c>
      <c r="C30" s="16" t="s">
        <v>8</v>
      </c>
      <c r="D30" s="20" t="s">
        <v>25</v>
      </c>
      <c r="E30" s="20" t="s">
        <v>49</v>
      </c>
      <c r="F30" s="16" t="s">
        <v>15</v>
      </c>
      <c r="G30" s="16" t="n">
        <v>0</v>
      </c>
    </row>
    <row r="31" customFormat="false" ht="23.85" hidden="false" customHeight="false" outlineLevel="0" collapsed="false">
      <c r="A31" s="7" t="n">
        <v>30</v>
      </c>
      <c r="B31" s="15" t="s">
        <v>51</v>
      </c>
      <c r="C31" s="16" t="s">
        <v>8</v>
      </c>
      <c r="D31" s="20" t="s">
        <v>25</v>
      </c>
      <c r="E31" s="20" t="s">
        <v>49</v>
      </c>
      <c r="F31" s="16" t="s">
        <v>15</v>
      </c>
      <c r="G31" s="16" t="n">
        <v>0</v>
      </c>
    </row>
    <row r="32" customFormat="false" ht="12.8" hidden="false" customHeight="false" outlineLevel="0" collapsed="false">
      <c r="A32" s="7" t="n">
        <v>31</v>
      </c>
      <c r="B32" s="15" t="s">
        <v>52</v>
      </c>
      <c r="C32" s="16" t="s">
        <v>8</v>
      </c>
      <c r="D32" s="20" t="s">
        <v>23</v>
      </c>
      <c r="E32" s="20" t="s">
        <v>19</v>
      </c>
      <c r="F32" s="16" t="s">
        <v>15</v>
      </c>
      <c r="G32" s="16" t="n">
        <v>0</v>
      </c>
    </row>
    <row r="33" customFormat="false" ht="12.8" hidden="false" customHeight="false" outlineLevel="0" collapsed="false">
      <c r="A33" s="7" t="n">
        <v>32</v>
      </c>
      <c r="B33" s="15" t="s">
        <v>53</v>
      </c>
      <c r="C33" s="16" t="s">
        <v>8</v>
      </c>
      <c r="D33" s="20" t="s">
        <v>23</v>
      </c>
      <c r="E33" s="20" t="s">
        <v>54</v>
      </c>
      <c r="F33" s="16" t="s">
        <v>10</v>
      </c>
      <c r="G33" s="16" t="n">
        <v>0</v>
      </c>
    </row>
    <row r="34" customFormat="false" ht="12.8" hidden="false" customHeight="false" outlineLevel="0" collapsed="false">
      <c r="A34" s="7" t="n">
        <v>33</v>
      </c>
      <c r="B34" s="15" t="s">
        <v>55</v>
      </c>
      <c r="C34" s="16" t="s">
        <v>8</v>
      </c>
      <c r="D34" s="20" t="s">
        <v>19</v>
      </c>
      <c r="E34" s="20" t="s">
        <v>49</v>
      </c>
      <c r="F34" s="16" t="s">
        <v>15</v>
      </c>
      <c r="G34" s="16" t="n">
        <v>0</v>
      </c>
    </row>
    <row r="35" customFormat="false" ht="23.85" hidden="false" customHeight="false" outlineLevel="0" collapsed="false">
      <c r="A35" s="7" t="n">
        <v>34</v>
      </c>
      <c r="B35" s="15" t="s">
        <v>56</v>
      </c>
      <c r="C35" s="16" t="s">
        <v>8</v>
      </c>
      <c r="D35" s="20" t="s">
        <v>9</v>
      </c>
      <c r="E35" s="20" t="s">
        <v>19</v>
      </c>
      <c r="F35" s="16" t="s">
        <v>10</v>
      </c>
      <c r="G35" s="16" t="n">
        <v>0</v>
      </c>
    </row>
    <row r="36" customFormat="false" ht="23.85" hidden="false" customHeight="false" outlineLevel="0" collapsed="false">
      <c r="A36" s="7" t="n">
        <v>35</v>
      </c>
      <c r="B36" s="15" t="s">
        <v>57</v>
      </c>
      <c r="C36" s="16" t="s">
        <v>13</v>
      </c>
      <c r="D36" s="20" t="s">
        <v>27</v>
      </c>
      <c r="E36" s="20" t="s">
        <v>19</v>
      </c>
      <c r="F36" s="16" t="s">
        <v>15</v>
      </c>
      <c r="G36" s="16" t="n">
        <v>0</v>
      </c>
    </row>
    <row r="37" customFormat="false" ht="12.8" hidden="false" customHeight="false" outlineLevel="0" collapsed="false">
      <c r="A37" s="7" t="n">
        <v>36</v>
      </c>
      <c r="B37" s="15" t="s">
        <v>58</v>
      </c>
      <c r="C37" s="16" t="s">
        <v>13</v>
      </c>
      <c r="D37" s="20" t="s">
        <v>29</v>
      </c>
      <c r="E37" s="20" t="s">
        <v>19</v>
      </c>
      <c r="F37" s="16" t="s">
        <v>15</v>
      </c>
      <c r="G37" s="16" t="n">
        <v>0</v>
      </c>
    </row>
    <row r="38" customFormat="false" ht="12.8" hidden="false" customHeight="false" outlineLevel="0" collapsed="false">
      <c r="A38" s="7" t="n">
        <v>37</v>
      </c>
      <c r="B38" s="15" t="s">
        <v>59</v>
      </c>
      <c r="C38" s="16" t="s">
        <v>8</v>
      </c>
      <c r="D38" s="20" t="s">
        <v>25</v>
      </c>
      <c r="E38" s="20" t="s">
        <v>49</v>
      </c>
      <c r="F38" s="16" t="s">
        <v>15</v>
      </c>
      <c r="G38" s="16" t="n">
        <v>0</v>
      </c>
    </row>
    <row r="39" customFormat="false" ht="12.8" hidden="false" customHeight="false" outlineLevel="0" collapsed="false">
      <c r="A39" s="7" t="n">
        <v>38</v>
      </c>
      <c r="B39" s="15" t="s">
        <v>60</v>
      </c>
      <c r="C39" s="16" t="s">
        <v>13</v>
      </c>
      <c r="D39" s="20" t="s">
        <v>29</v>
      </c>
      <c r="E39" s="20" t="s">
        <v>19</v>
      </c>
      <c r="F39" s="16" t="s">
        <v>15</v>
      </c>
      <c r="G39" s="16" t="n">
        <v>0</v>
      </c>
    </row>
    <row r="40" customFormat="false" ht="12.8" hidden="false" customHeight="false" outlineLevel="0" collapsed="false">
      <c r="A40" s="7" t="n">
        <v>39</v>
      </c>
      <c r="B40" s="15" t="s">
        <v>61</v>
      </c>
      <c r="C40" s="16" t="s">
        <v>13</v>
      </c>
      <c r="D40" s="20" t="s">
        <v>19</v>
      </c>
      <c r="E40" s="20" t="s">
        <v>49</v>
      </c>
      <c r="F40" s="16" t="s">
        <v>15</v>
      </c>
      <c r="G40" s="16" t="n">
        <v>0</v>
      </c>
    </row>
    <row r="41" customFormat="false" ht="23.85" hidden="false" customHeight="false" outlineLevel="0" collapsed="false">
      <c r="A41" s="7" t="n">
        <v>40</v>
      </c>
      <c r="B41" s="15" t="s">
        <v>62</v>
      </c>
      <c r="C41" s="16" t="s">
        <v>8</v>
      </c>
      <c r="D41" s="20" t="s">
        <v>19</v>
      </c>
      <c r="E41" s="20" t="s">
        <v>49</v>
      </c>
      <c r="F41" s="16" t="s">
        <v>15</v>
      </c>
      <c r="G41" s="16" t="n">
        <v>0</v>
      </c>
    </row>
    <row r="42" customFormat="false" ht="12.8" hidden="false" customHeight="false" outlineLevel="0" collapsed="false">
      <c r="A42" s="7" t="n">
        <v>41</v>
      </c>
      <c r="B42" s="15" t="s">
        <v>63</v>
      </c>
      <c r="C42" s="16" t="s">
        <v>8</v>
      </c>
      <c r="D42" s="20" t="s">
        <v>19</v>
      </c>
      <c r="E42" s="20" t="s">
        <v>49</v>
      </c>
      <c r="F42" s="16" t="s">
        <v>15</v>
      </c>
      <c r="G42" s="16" t="n">
        <v>0</v>
      </c>
    </row>
    <row r="43" customFormat="false" ht="23.85" hidden="false" customHeight="false" outlineLevel="0" collapsed="false">
      <c r="A43" s="7" t="n">
        <v>42</v>
      </c>
      <c r="B43" s="15" t="s">
        <v>64</v>
      </c>
      <c r="C43" s="16" t="s">
        <v>8</v>
      </c>
      <c r="D43" s="20" t="s">
        <v>25</v>
      </c>
      <c r="E43" s="20" t="s">
        <v>49</v>
      </c>
      <c r="F43" s="16" t="s">
        <v>15</v>
      </c>
      <c r="G43" s="16" t="n">
        <v>0</v>
      </c>
    </row>
    <row r="44" customFormat="false" ht="35.05" hidden="false" customHeight="false" outlineLevel="0" collapsed="false">
      <c r="A44" s="7" t="n">
        <v>43</v>
      </c>
      <c r="B44" s="15" t="s">
        <v>65</v>
      </c>
      <c r="C44" s="16" t="s">
        <v>13</v>
      </c>
      <c r="D44" s="20" t="s">
        <v>19</v>
      </c>
      <c r="E44" s="20" t="s">
        <v>49</v>
      </c>
      <c r="F44" s="16" t="s">
        <v>15</v>
      </c>
      <c r="G44" s="16" t="n">
        <v>1</v>
      </c>
    </row>
    <row r="45" customFormat="false" ht="23.85" hidden="false" customHeight="false" outlineLevel="0" collapsed="false">
      <c r="A45" s="7" t="n">
        <v>44</v>
      </c>
      <c r="B45" s="15" t="s">
        <v>66</v>
      </c>
      <c r="C45" s="16" t="s">
        <v>8</v>
      </c>
      <c r="D45" s="20" t="s">
        <v>19</v>
      </c>
      <c r="E45" s="20" t="s">
        <v>49</v>
      </c>
      <c r="F45" s="16" t="s">
        <v>15</v>
      </c>
      <c r="G45" s="16" t="n">
        <v>0</v>
      </c>
    </row>
    <row r="46" customFormat="false" ht="12.8" hidden="false" customHeight="false" outlineLevel="0" collapsed="false">
      <c r="A46" s="7" t="n">
        <v>45</v>
      </c>
      <c r="B46" s="15" t="s">
        <v>67</v>
      </c>
      <c r="C46" s="16" t="s">
        <v>8</v>
      </c>
      <c r="D46" s="20" t="s">
        <v>9</v>
      </c>
      <c r="E46" s="20" t="s">
        <v>19</v>
      </c>
      <c r="F46" s="16" t="s">
        <v>15</v>
      </c>
      <c r="G46" s="16" t="n">
        <v>0</v>
      </c>
    </row>
    <row r="47" customFormat="false" ht="23.85" hidden="false" customHeight="false" outlineLevel="0" collapsed="false">
      <c r="A47" s="7" t="n">
        <v>46</v>
      </c>
      <c r="B47" s="15" t="s">
        <v>68</v>
      </c>
      <c r="C47" s="16" t="s">
        <v>8</v>
      </c>
      <c r="D47" s="20" t="s">
        <v>23</v>
      </c>
      <c r="E47" s="20" t="s">
        <v>54</v>
      </c>
      <c r="F47" s="16" t="s">
        <v>10</v>
      </c>
      <c r="G47" s="16" t="n">
        <v>0</v>
      </c>
    </row>
    <row r="48" customFormat="false" ht="23.85" hidden="false" customHeight="false" outlineLevel="0" collapsed="false">
      <c r="A48" s="7" t="n">
        <v>47</v>
      </c>
      <c r="B48" s="15" t="s">
        <v>69</v>
      </c>
      <c r="C48" s="16" t="s">
        <v>8</v>
      </c>
      <c r="D48" s="20" t="s">
        <v>19</v>
      </c>
      <c r="E48" s="20" t="s">
        <v>49</v>
      </c>
      <c r="F48" s="16" t="s">
        <v>15</v>
      </c>
      <c r="G48" s="16" t="n">
        <v>0</v>
      </c>
    </row>
    <row r="49" customFormat="false" ht="12.8" hidden="false" customHeight="false" outlineLevel="0" collapsed="false">
      <c r="A49" s="7" t="n">
        <v>48</v>
      </c>
      <c r="B49" s="15" t="s">
        <v>70</v>
      </c>
      <c r="C49" s="16" t="s">
        <v>8</v>
      </c>
      <c r="D49" s="20" t="s">
        <v>19</v>
      </c>
      <c r="E49" s="20" t="s">
        <v>49</v>
      </c>
      <c r="F49" s="16" t="s">
        <v>15</v>
      </c>
      <c r="G49" s="16" t="n">
        <v>0</v>
      </c>
    </row>
    <row r="50" customFormat="false" ht="23.85" hidden="false" customHeight="false" outlineLevel="0" collapsed="false">
      <c r="A50" s="7" t="n">
        <v>49</v>
      </c>
      <c r="B50" s="15" t="s">
        <v>71</v>
      </c>
      <c r="C50" s="16" t="s">
        <v>8</v>
      </c>
      <c r="D50" s="20" t="s">
        <v>19</v>
      </c>
      <c r="E50" s="20" t="s">
        <v>49</v>
      </c>
      <c r="F50" s="16" t="s">
        <v>15</v>
      </c>
      <c r="G50" s="16" t="n">
        <v>1</v>
      </c>
    </row>
    <row r="51" customFormat="false" ht="23.85" hidden="false" customHeight="false" outlineLevel="0" collapsed="false">
      <c r="A51" s="7" t="n">
        <v>50</v>
      </c>
      <c r="B51" s="15" t="s">
        <v>72</v>
      </c>
      <c r="C51" s="16" t="s">
        <v>13</v>
      </c>
      <c r="D51" s="20" t="s">
        <v>18</v>
      </c>
      <c r="E51" s="20" t="s">
        <v>19</v>
      </c>
      <c r="F51" s="16" t="s">
        <v>15</v>
      </c>
      <c r="G51" s="16" t="n">
        <v>1</v>
      </c>
    </row>
    <row r="52" customFormat="false" ht="23.85" hidden="false" customHeight="false" outlineLevel="0" collapsed="false">
      <c r="A52" s="7" t="n">
        <v>51</v>
      </c>
      <c r="B52" s="15" t="s">
        <v>73</v>
      </c>
      <c r="C52" s="16" t="s">
        <v>13</v>
      </c>
      <c r="D52" s="20" t="s">
        <v>9</v>
      </c>
      <c r="E52" s="20" t="s">
        <v>19</v>
      </c>
      <c r="F52" s="16" t="s">
        <v>10</v>
      </c>
      <c r="G52" s="16" t="n">
        <v>1</v>
      </c>
    </row>
    <row r="53" customFormat="false" ht="23.85" hidden="false" customHeight="false" outlineLevel="0" collapsed="false">
      <c r="A53" s="7" t="n">
        <v>52</v>
      </c>
      <c r="B53" s="15" t="s">
        <v>74</v>
      </c>
      <c r="C53" s="16" t="s">
        <v>13</v>
      </c>
      <c r="D53" s="20" t="s">
        <v>23</v>
      </c>
      <c r="E53" s="20" t="s">
        <v>19</v>
      </c>
      <c r="F53" s="16" t="s">
        <v>10</v>
      </c>
      <c r="G53" s="16" t="n">
        <v>0</v>
      </c>
    </row>
    <row r="54" customFormat="false" ht="23.85" hidden="false" customHeight="false" outlineLevel="0" collapsed="false">
      <c r="A54" s="7" t="n">
        <v>53</v>
      </c>
      <c r="B54" s="15" t="s">
        <v>75</v>
      </c>
      <c r="C54" s="16" t="s">
        <v>13</v>
      </c>
      <c r="D54" s="20" t="s">
        <v>18</v>
      </c>
      <c r="E54" s="20" t="s">
        <v>49</v>
      </c>
      <c r="F54" s="16" t="s">
        <v>15</v>
      </c>
      <c r="G54" s="16" t="n">
        <v>0</v>
      </c>
    </row>
    <row r="55" customFormat="false" ht="23.85" hidden="false" customHeight="false" outlineLevel="0" collapsed="false">
      <c r="A55" s="7" t="n">
        <v>54</v>
      </c>
      <c r="B55" s="15" t="s">
        <v>76</v>
      </c>
      <c r="C55" s="16" t="s">
        <v>13</v>
      </c>
      <c r="D55" s="20" t="s">
        <v>23</v>
      </c>
      <c r="E55" s="20" t="s">
        <v>54</v>
      </c>
      <c r="F55" s="16" t="s">
        <v>10</v>
      </c>
      <c r="G55" s="16" t="n">
        <v>1</v>
      </c>
    </row>
    <row r="56" customFormat="false" ht="35.05" hidden="false" customHeight="false" outlineLevel="0" collapsed="false">
      <c r="A56" s="7" t="n">
        <v>55</v>
      </c>
      <c r="B56" s="15" t="s">
        <v>77</v>
      </c>
      <c r="C56" s="16" t="s">
        <v>13</v>
      </c>
      <c r="D56" s="20" t="s">
        <v>9</v>
      </c>
      <c r="E56" s="20" t="s">
        <v>49</v>
      </c>
      <c r="F56" s="16" t="s">
        <v>15</v>
      </c>
      <c r="G56" s="16" t="n">
        <v>1</v>
      </c>
    </row>
    <row r="57" customFormat="false" ht="23.85" hidden="false" customHeight="false" outlineLevel="0" collapsed="false">
      <c r="A57" s="7" t="n">
        <v>56</v>
      </c>
      <c r="B57" s="15" t="s">
        <v>78</v>
      </c>
      <c r="C57" s="16" t="s">
        <v>8</v>
      </c>
      <c r="D57" s="20" t="s">
        <v>19</v>
      </c>
      <c r="E57" s="20" t="s">
        <v>49</v>
      </c>
      <c r="F57" s="16" t="s">
        <v>15</v>
      </c>
      <c r="G57" s="16" t="n">
        <v>0</v>
      </c>
    </row>
    <row r="58" customFormat="false" ht="23.85" hidden="false" customHeight="false" outlineLevel="0" collapsed="false">
      <c r="A58" s="7" t="n">
        <v>57</v>
      </c>
      <c r="B58" s="15" t="s">
        <v>79</v>
      </c>
      <c r="C58" s="16" t="s">
        <v>8</v>
      </c>
      <c r="D58" s="20" t="s">
        <v>23</v>
      </c>
      <c r="E58" s="20" t="s">
        <v>19</v>
      </c>
      <c r="F58" s="16" t="s">
        <v>10</v>
      </c>
      <c r="G58" s="16" t="n">
        <v>0</v>
      </c>
    </row>
    <row r="59" customFormat="false" ht="23.85" hidden="false" customHeight="false" outlineLevel="0" collapsed="false">
      <c r="A59" s="7" t="n">
        <v>58</v>
      </c>
      <c r="B59" s="15" t="s">
        <v>80</v>
      </c>
      <c r="C59" s="16" t="s">
        <v>13</v>
      </c>
      <c r="D59" s="20" t="s">
        <v>18</v>
      </c>
      <c r="E59" s="20" t="s">
        <v>49</v>
      </c>
      <c r="F59" s="16" t="s">
        <v>15</v>
      </c>
      <c r="G59" s="16" t="n">
        <v>0</v>
      </c>
    </row>
    <row r="60" customFormat="false" ht="35.05" hidden="false" customHeight="false" outlineLevel="0" collapsed="false">
      <c r="A60" s="7" t="n">
        <v>59</v>
      </c>
      <c r="B60" s="15" t="s">
        <v>81</v>
      </c>
      <c r="C60" s="16" t="s">
        <v>13</v>
      </c>
      <c r="D60" s="20" t="s">
        <v>18</v>
      </c>
      <c r="E60" s="20" t="s">
        <v>49</v>
      </c>
      <c r="F60" s="16" t="s">
        <v>15</v>
      </c>
      <c r="G60" s="16" t="n">
        <v>0</v>
      </c>
    </row>
    <row r="61" customFormat="false" ht="12.8" hidden="false" customHeight="false" outlineLevel="0" collapsed="false">
      <c r="A61" s="7" t="n">
        <v>60</v>
      </c>
      <c r="B61" s="15" t="s">
        <v>82</v>
      </c>
      <c r="C61" s="16" t="s">
        <v>13</v>
      </c>
      <c r="D61" s="20" t="s">
        <v>9</v>
      </c>
      <c r="E61" s="20" t="s">
        <v>19</v>
      </c>
      <c r="F61" s="16" t="s">
        <v>10</v>
      </c>
      <c r="G61" s="16" t="n">
        <v>1</v>
      </c>
    </row>
    <row r="62" customFormat="false" ht="23.85" hidden="false" customHeight="false" outlineLevel="0" collapsed="false">
      <c r="A62" s="7" t="n">
        <v>61</v>
      </c>
      <c r="B62" s="15" t="s">
        <v>83</v>
      </c>
      <c r="C62" s="16" t="s">
        <v>8</v>
      </c>
      <c r="D62" s="20" t="s">
        <v>19</v>
      </c>
      <c r="E62" s="20" t="s">
        <v>49</v>
      </c>
      <c r="F62" s="16" t="s">
        <v>15</v>
      </c>
      <c r="G62" s="16" t="n">
        <v>0</v>
      </c>
    </row>
    <row r="63" customFormat="false" ht="35.05" hidden="false" customHeight="false" outlineLevel="0" collapsed="false">
      <c r="A63" s="7" t="n">
        <v>62</v>
      </c>
      <c r="B63" s="15" t="s">
        <v>84</v>
      </c>
      <c r="C63" s="16" t="s">
        <v>8</v>
      </c>
      <c r="D63" s="20" t="s">
        <v>23</v>
      </c>
      <c r="E63" s="20" t="s">
        <v>49</v>
      </c>
      <c r="F63" s="16" t="s">
        <v>10</v>
      </c>
      <c r="G63" s="16" t="n">
        <v>1</v>
      </c>
    </row>
    <row r="64" customFormat="false" ht="23.85" hidden="false" customHeight="false" outlineLevel="0" collapsed="false">
      <c r="A64" s="7" t="n">
        <v>63</v>
      </c>
      <c r="B64" s="15" t="s">
        <v>85</v>
      </c>
      <c r="C64" s="16" t="s">
        <v>13</v>
      </c>
      <c r="D64" s="20" t="s">
        <v>18</v>
      </c>
      <c r="E64" s="20" t="s">
        <v>49</v>
      </c>
      <c r="F64" s="16" t="s">
        <v>15</v>
      </c>
      <c r="G64" s="16" t="n">
        <v>0</v>
      </c>
    </row>
    <row r="65" customFormat="false" ht="23.85" hidden="false" customHeight="false" outlineLevel="0" collapsed="false">
      <c r="A65" s="7" t="n">
        <v>64</v>
      </c>
      <c r="B65" s="15" t="s">
        <v>86</v>
      </c>
      <c r="C65" s="16" t="s">
        <v>13</v>
      </c>
      <c r="D65" s="20" t="s">
        <v>9</v>
      </c>
      <c r="E65" s="20" t="s">
        <v>19</v>
      </c>
      <c r="F65" s="16" t="s">
        <v>10</v>
      </c>
      <c r="G65" s="16" t="n">
        <v>1</v>
      </c>
    </row>
    <row r="66" customFormat="false" ht="23.85" hidden="false" customHeight="false" outlineLevel="0" collapsed="false">
      <c r="A66" s="7" t="n">
        <v>65</v>
      </c>
      <c r="B66" s="15" t="s">
        <v>87</v>
      </c>
      <c r="C66" s="16" t="s">
        <v>13</v>
      </c>
      <c r="D66" s="20" t="s">
        <v>9</v>
      </c>
      <c r="E66" s="20" t="s">
        <v>49</v>
      </c>
      <c r="F66" s="16" t="s">
        <v>10</v>
      </c>
      <c r="G66" s="16" t="n">
        <v>1</v>
      </c>
    </row>
    <row r="67" customFormat="false" ht="12.8" hidden="false" customHeight="false" outlineLevel="0" collapsed="false">
      <c r="A67" s="7" t="n">
        <v>66</v>
      </c>
      <c r="B67" s="15" t="s">
        <v>88</v>
      </c>
      <c r="C67" s="16" t="s">
        <v>13</v>
      </c>
      <c r="D67" s="20" t="s">
        <v>18</v>
      </c>
      <c r="E67" s="20" t="s">
        <v>49</v>
      </c>
      <c r="F67" s="16" t="s">
        <v>15</v>
      </c>
      <c r="G67" s="16" t="n">
        <v>0</v>
      </c>
    </row>
    <row r="68" customFormat="false" ht="12.8" hidden="false" customHeight="false" outlineLevel="0" collapsed="false">
      <c r="A68" s="7" t="n">
        <v>67</v>
      </c>
      <c r="B68" s="15" t="s">
        <v>89</v>
      </c>
      <c r="C68" s="16" t="s">
        <v>8</v>
      </c>
      <c r="D68" s="20" t="s">
        <v>19</v>
      </c>
      <c r="E68" s="20" t="s">
        <v>49</v>
      </c>
      <c r="F68" s="16" t="s">
        <v>15</v>
      </c>
      <c r="G68" s="16" t="n">
        <v>0</v>
      </c>
    </row>
    <row r="69" customFormat="false" ht="12.8" hidden="false" customHeight="false" outlineLevel="0" collapsed="false">
      <c r="A69" s="7" t="n">
        <v>68</v>
      </c>
      <c r="B69" s="15" t="s">
        <v>90</v>
      </c>
      <c r="C69" s="16" t="s">
        <v>8</v>
      </c>
      <c r="D69" s="20" t="s">
        <v>23</v>
      </c>
      <c r="E69" s="20" t="s">
        <v>19</v>
      </c>
      <c r="F69" s="16" t="s">
        <v>10</v>
      </c>
      <c r="G69" s="16" t="n">
        <v>0</v>
      </c>
    </row>
    <row r="70" customFormat="false" ht="12.8" hidden="false" customHeight="false" outlineLevel="0" collapsed="false">
      <c r="A70" s="7" t="n">
        <v>69</v>
      </c>
      <c r="B70" s="15" t="s">
        <v>91</v>
      </c>
      <c r="C70" s="16" t="s">
        <v>13</v>
      </c>
      <c r="D70" s="20" t="s">
        <v>18</v>
      </c>
      <c r="E70" s="20" t="s">
        <v>49</v>
      </c>
      <c r="F70" s="16" t="s">
        <v>15</v>
      </c>
      <c r="G70" s="16" t="n">
        <v>0</v>
      </c>
    </row>
    <row r="71" customFormat="false" ht="12.8" hidden="false" customHeight="false" outlineLevel="0" collapsed="false">
      <c r="A71" s="7" t="n">
        <v>70</v>
      </c>
      <c r="B71" s="15" t="s">
        <v>92</v>
      </c>
      <c r="C71" s="16" t="s">
        <v>13</v>
      </c>
      <c r="D71" s="20" t="s">
        <v>18</v>
      </c>
      <c r="E71" s="20" t="s">
        <v>49</v>
      </c>
      <c r="F71" s="16" t="s">
        <v>15</v>
      </c>
      <c r="G71" s="16" t="n">
        <v>0</v>
      </c>
    </row>
    <row r="72" customFormat="false" ht="23.85" hidden="false" customHeight="false" outlineLevel="0" collapsed="false">
      <c r="A72" s="7" t="n">
        <v>71</v>
      </c>
      <c r="B72" s="15" t="s">
        <v>93</v>
      </c>
      <c r="C72" s="16" t="s">
        <v>13</v>
      </c>
      <c r="D72" s="20" t="s">
        <v>18</v>
      </c>
      <c r="E72" s="20" t="s">
        <v>49</v>
      </c>
      <c r="F72" s="16" t="s">
        <v>15</v>
      </c>
      <c r="G72" s="16" t="n">
        <v>0</v>
      </c>
    </row>
    <row r="73" customFormat="false" ht="23.85" hidden="false" customHeight="false" outlineLevel="0" collapsed="false">
      <c r="A73" s="7" t="n">
        <v>72</v>
      </c>
      <c r="B73" s="15" t="s">
        <v>94</v>
      </c>
      <c r="C73" s="16" t="s">
        <v>13</v>
      </c>
      <c r="D73" s="20" t="s">
        <v>18</v>
      </c>
      <c r="E73" s="20" t="s">
        <v>49</v>
      </c>
      <c r="F73" s="16" t="s">
        <v>15</v>
      </c>
      <c r="G73" s="16" t="n">
        <v>0</v>
      </c>
    </row>
    <row r="74" customFormat="false" ht="23.85" hidden="false" customHeight="false" outlineLevel="0" collapsed="false">
      <c r="A74" s="7" t="n">
        <v>73</v>
      </c>
      <c r="B74" s="15" t="s">
        <v>95</v>
      </c>
      <c r="C74" s="16" t="s">
        <v>13</v>
      </c>
      <c r="D74" s="20" t="s">
        <v>18</v>
      </c>
      <c r="E74" s="20" t="s">
        <v>49</v>
      </c>
      <c r="F74" s="16" t="s">
        <v>15</v>
      </c>
      <c r="G74" s="16" t="n">
        <v>0</v>
      </c>
    </row>
    <row r="75" customFormat="false" ht="35.05" hidden="false" customHeight="false" outlineLevel="0" collapsed="false">
      <c r="A75" s="7" t="n">
        <v>74</v>
      </c>
      <c r="B75" s="15" t="s">
        <v>96</v>
      </c>
      <c r="C75" s="16" t="s">
        <v>13</v>
      </c>
      <c r="D75" s="20" t="s">
        <v>18</v>
      </c>
      <c r="E75" s="20" t="s">
        <v>19</v>
      </c>
      <c r="F75" s="16" t="s">
        <v>15</v>
      </c>
      <c r="G75" s="16" t="n">
        <v>1</v>
      </c>
    </row>
    <row r="76" customFormat="false" ht="12.8" hidden="false" customHeight="false" outlineLevel="0" collapsed="false">
      <c r="A76" s="7" t="n">
        <v>75</v>
      </c>
      <c r="B76" s="15" t="s">
        <v>97</v>
      </c>
      <c r="C76" s="16" t="s">
        <v>8</v>
      </c>
      <c r="D76" s="20" t="s">
        <v>19</v>
      </c>
      <c r="E76" s="20" t="s">
        <v>49</v>
      </c>
      <c r="F76" s="16" t="s">
        <v>15</v>
      </c>
      <c r="G76" s="16" t="n">
        <v>0</v>
      </c>
    </row>
    <row r="77" customFormat="false" ht="12.8" hidden="false" customHeight="false" outlineLevel="0" collapsed="false">
      <c r="A77" s="7" t="n">
        <v>76</v>
      </c>
      <c r="B77" s="15" t="s">
        <v>98</v>
      </c>
      <c r="C77" s="16" t="s">
        <v>8</v>
      </c>
      <c r="D77" s="20" t="s">
        <v>19</v>
      </c>
      <c r="E77" s="20" t="s">
        <v>49</v>
      </c>
      <c r="F77" s="16" t="s">
        <v>15</v>
      </c>
      <c r="G77" s="16" t="n">
        <v>0</v>
      </c>
    </row>
    <row r="78" customFormat="false" ht="23.85" hidden="false" customHeight="false" outlineLevel="0" collapsed="false">
      <c r="A78" s="7" t="n">
        <v>77</v>
      </c>
      <c r="B78" s="15" t="s">
        <v>99</v>
      </c>
      <c r="C78" s="16" t="s">
        <v>8</v>
      </c>
      <c r="D78" s="20" t="s">
        <v>19</v>
      </c>
      <c r="E78" s="20" t="s">
        <v>49</v>
      </c>
      <c r="F78" s="16" t="s">
        <v>15</v>
      </c>
      <c r="G78" s="16" t="n">
        <v>0</v>
      </c>
    </row>
    <row r="79" customFormat="false" ht="35.05" hidden="false" customHeight="false" outlineLevel="0" collapsed="false">
      <c r="A79" s="7" t="n">
        <v>78</v>
      </c>
      <c r="B79" s="15" t="s">
        <v>100</v>
      </c>
      <c r="C79" s="16" t="s">
        <v>13</v>
      </c>
      <c r="D79" s="20" t="s">
        <v>14</v>
      </c>
      <c r="E79" s="20" t="s">
        <v>49</v>
      </c>
      <c r="F79" s="16" t="s">
        <v>15</v>
      </c>
      <c r="G79" s="16" t="n">
        <v>0</v>
      </c>
    </row>
    <row r="80" customFormat="false" ht="23.85" hidden="false" customHeight="false" outlineLevel="0" collapsed="false">
      <c r="A80" s="7" t="n">
        <v>79</v>
      </c>
      <c r="B80" s="15" t="s">
        <v>101</v>
      </c>
      <c r="C80" s="16" t="s">
        <v>8</v>
      </c>
      <c r="D80" s="20" t="s">
        <v>19</v>
      </c>
      <c r="E80" s="20" t="s">
        <v>49</v>
      </c>
      <c r="F80" s="16" t="s">
        <v>15</v>
      </c>
      <c r="G80" s="16" t="n">
        <v>0</v>
      </c>
    </row>
    <row r="81" customFormat="false" ht="23.85" hidden="false" customHeight="false" outlineLevel="0" collapsed="false">
      <c r="A81" s="7" t="n">
        <v>80</v>
      </c>
      <c r="B81" s="15" t="s">
        <v>102</v>
      </c>
      <c r="C81" s="16" t="s">
        <v>8</v>
      </c>
      <c r="D81" s="20" t="s">
        <v>23</v>
      </c>
      <c r="E81" s="20" t="s">
        <v>19</v>
      </c>
      <c r="F81" s="16" t="s">
        <v>15</v>
      </c>
      <c r="G81" s="16" t="n">
        <v>0</v>
      </c>
    </row>
    <row r="82" customFormat="false" ht="12.8" hidden="false" customHeight="false" outlineLevel="0" collapsed="false">
      <c r="A82" s="7" t="n">
        <v>81</v>
      </c>
      <c r="B82" s="15" t="s">
        <v>103</v>
      </c>
      <c r="C82" s="16" t="s">
        <v>8</v>
      </c>
      <c r="D82" s="20" t="s">
        <v>19</v>
      </c>
      <c r="E82" s="20" t="s">
        <v>49</v>
      </c>
      <c r="F82" s="16" t="s">
        <v>15</v>
      </c>
      <c r="G82" s="16" t="n">
        <v>0</v>
      </c>
    </row>
    <row r="83" customFormat="false" ht="23.85" hidden="false" customHeight="false" outlineLevel="0" collapsed="false">
      <c r="A83" s="7" t="n">
        <v>82</v>
      </c>
      <c r="B83" s="15" t="s">
        <v>104</v>
      </c>
      <c r="C83" s="16" t="s">
        <v>13</v>
      </c>
      <c r="D83" s="20" t="s">
        <v>18</v>
      </c>
      <c r="E83" s="20" t="s">
        <v>49</v>
      </c>
      <c r="F83" s="16" t="s">
        <v>15</v>
      </c>
      <c r="G83" s="16" t="n">
        <v>0</v>
      </c>
    </row>
    <row r="84" customFormat="false" ht="23.85" hidden="false" customHeight="false" outlineLevel="0" collapsed="false">
      <c r="A84" s="7" t="n">
        <v>83</v>
      </c>
      <c r="B84" s="15" t="s">
        <v>105</v>
      </c>
      <c r="C84" s="16" t="s">
        <v>8</v>
      </c>
      <c r="D84" s="20" t="s">
        <v>19</v>
      </c>
      <c r="E84" s="20" t="s">
        <v>49</v>
      </c>
      <c r="F84" s="16" t="s">
        <v>15</v>
      </c>
      <c r="G84" s="16" t="n">
        <v>0</v>
      </c>
    </row>
    <row r="85" customFormat="false" ht="12.8" hidden="false" customHeight="false" outlineLevel="0" collapsed="false">
      <c r="A85" s="7" t="n">
        <v>84</v>
      </c>
      <c r="B85" s="15" t="s">
        <v>106</v>
      </c>
      <c r="C85" s="16" t="s">
        <v>8</v>
      </c>
      <c r="D85" s="20" t="s">
        <v>23</v>
      </c>
      <c r="E85" s="20" t="s">
        <v>54</v>
      </c>
      <c r="F85" s="16" t="s">
        <v>10</v>
      </c>
      <c r="G85" s="16" t="n">
        <v>0</v>
      </c>
    </row>
    <row r="86" customFormat="false" ht="23.85" hidden="false" customHeight="false" outlineLevel="0" collapsed="false">
      <c r="A86" s="7" t="n">
        <v>85</v>
      </c>
      <c r="B86" s="15" t="s">
        <v>107</v>
      </c>
      <c r="C86" s="16" t="s">
        <v>13</v>
      </c>
      <c r="D86" s="20" t="s">
        <v>14</v>
      </c>
      <c r="E86" s="20" t="s">
        <v>49</v>
      </c>
      <c r="F86" s="16" t="s">
        <v>15</v>
      </c>
      <c r="G86" s="16" t="n">
        <v>0</v>
      </c>
    </row>
    <row r="87" customFormat="false" ht="12.8" hidden="false" customHeight="false" outlineLevel="0" collapsed="false">
      <c r="A87" s="7" t="n">
        <v>86</v>
      </c>
      <c r="B87" s="15" t="s">
        <v>108</v>
      </c>
      <c r="C87" s="16" t="s">
        <v>8</v>
      </c>
      <c r="D87" s="20" t="s">
        <v>23</v>
      </c>
      <c r="E87" s="20" t="s">
        <v>19</v>
      </c>
      <c r="F87" s="16" t="s">
        <v>15</v>
      </c>
      <c r="G87" s="16" t="n">
        <v>0</v>
      </c>
    </row>
    <row r="88" customFormat="false" ht="23.85" hidden="false" customHeight="false" outlineLevel="0" collapsed="false">
      <c r="A88" s="7" t="n">
        <v>87</v>
      </c>
      <c r="B88" s="15" t="s">
        <v>109</v>
      </c>
      <c r="C88" s="16" t="s">
        <v>13</v>
      </c>
      <c r="D88" s="20" t="s">
        <v>19</v>
      </c>
      <c r="E88" s="20" t="s">
        <v>49</v>
      </c>
      <c r="F88" s="16" t="s">
        <v>15</v>
      </c>
      <c r="G88" s="16" t="n">
        <v>0</v>
      </c>
    </row>
    <row r="89" customFormat="false" ht="12.8" hidden="false" customHeight="false" outlineLevel="0" collapsed="false">
      <c r="A89" s="7" t="n">
        <v>88</v>
      </c>
      <c r="B89" s="15" t="s">
        <v>110</v>
      </c>
      <c r="C89" s="16" t="s">
        <v>8</v>
      </c>
      <c r="D89" s="20" t="s">
        <v>19</v>
      </c>
      <c r="E89" s="20" t="s">
        <v>49</v>
      </c>
      <c r="F89" s="16" t="s">
        <v>15</v>
      </c>
      <c r="G89" s="16" t="n">
        <v>0</v>
      </c>
    </row>
    <row r="90" customFormat="false" ht="12.8" hidden="false" customHeight="false" outlineLevel="0" collapsed="false">
      <c r="A90" s="7" t="n">
        <v>89</v>
      </c>
      <c r="B90" s="15" t="s">
        <v>111</v>
      </c>
      <c r="C90" s="16" t="s">
        <v>8</v>
      </c>
      <c r="D90" s="20" t="s">
        <v>19</v>
      </c>
      <c r="E90" s="20" t="s">
        <v>49</v>
      </c>
      <c r="F90" s="16" t="s">
        <v>15</v>
      </c>
      <c r="G90" s="16" t="n">
        <v>0</v>
      </c>
    </row>
    <row r="91" customFormat="false" ht="23.85" hidden="false" customHeight="false" outlineLevel="0" collapsed="false">
      <c r="A91" s="7" t="n">
        <v>90</v>
      </c>
      <c r="B91" s="15" t="s">
        <v>112</v>
      </c>
      <c r="C91" s="16" t="s">
        <v>8</v>
      </c>
      <c r="D91" s="20" t="s">
        <v>19</v>
      </c>
      <c r="E91" s="20" t="s">
        <v>49</v>
      </c>
      <c r="F91" s="16" t="s">
        <v>15</v>
      </c>
      <c r="G91" s="16" t="n">
        <v>0</v>
      </c>
    </row>
    <row r="92" customFormat="false" ht="12.8" hidden="false" customHeight="false" outlineLevel="0" collapsed="false">
      <c r="A92" s="7" t="n">
        <v>91</v>
      </c>
      <c r="B92" s="15" t="s">
        <v>113</v>
      </c>
      <c r="C92" s="16" t="s">
        <v>8</v>
      </c>
      <c r="D92" s="20" t="s">
        <v>19</v>
      </c>
      <c r="E92" s="20" t="s">
        <v>49</v>
      </c>
      <c r="F92" s="16" t="s">
        <v>15</v>
      </c>
      <c r="G92" s="16" t="n">
        <v>0</v>
      </c>
    </row>
    <row r="93" customFormat="false" ht="23.85" hidden="false" customHeight="false" outlineLevel="0" collapsed="false">
      <c r="A93" s="7" t="n">
        <v>92</v>
      </c>
      <c r="B93" s="15" t="s">
        <v>114</v>
      </c>
      <c r="C93" s="16" t="s">
        <v>13</v>
      </c>
      <c r="D93" s="20" t="s">
        <v>19</v>
      </c>
      <c r="E93" s="20" t="s">
        <v>49</v>
      </c>
      <c r="F93" s="16" t="s">
        <v>15</v>
      </c>
      <c r="G93" s="16" t="n">
        <v>0</v>
      </c>
    </row>
    <row r="94" customFormat="false" ht="12.8" hidden="false" customHeight="false" outlineLevel="0" collapsed="false">
      <c r="A94" s="7" t="n">
        <v>93</v>
      </c>
      <c r="B94" s="15" t="s">
        <v>115</v>
      </c>
      <c r="C94" s="16" t="s">
        <v>8</v>
      </c>
      <c r="D94" s="20" t="s">
        <v>19</v>
      </c>
      <c r="E94" s="20" t="s">
        <v>49</v>
      </c>
      <c r="F94" s="16" t="s">
        <v>15</v>
      </c>
      <c r="G94" s="16" t="n">
        <v>0</v>
      </c>
    </row>
    <row r="95" customFormat="false" ht="23.85" hidden="false" customHeight="false" outlineLevel="0" collapsed="false">
      <c r="A95" s="7" t="n">
        <v>94</v>
      </c>
      <c r="B95" s="15" t="s">
        <v>116</v>
      </c>
      <c r="C95" s="16" t="s">
        <v>8</v>
      </c>
      <c r="D95" s="20" t="s">
        <v>25</v>
      </c>
      <c r="E95" s="20" t="s">
        <v>49</v>
      </c>
      <c r="F95" s="16" t="s">
        <v>15</v>
      </c>
      <c r="G95" s="16" t="n">
        <v>0</v>
      </c>
    </row>
    <row r="96" customFormat="false" ht="23.85" hidden="false" customHeight="false" outlineLevel="0" collapsed="false">
      <c r="A96" s="7" t="n">
        <v>95</v>
      </c>
      <c r="B96" s="15" t="s">
        <v>117</v>
      </c>
      <c r="C96" s="16" t="s">
        <v>8</v>
      </c>
      <c r="D96" s="20" t="s">
        <v>25</v>
      </c>
      <c r="E96" s="20" t="s">
        <v>49</v>
      </c>
      <c r="F96" s="16" t="s">
        <v>15</v>
      </c>
      <c r="G96" s="16" t="n">
        <v>0</v>
      </c>
    </row>
    <row r="97" customFormat="false" ht="23.85" hidden="false" customHeight="false" outlineLevel="0" collapsed="false">
      <c r="A97" s="7" t="n">
        <v>96</v>
      </c>
      <c r="B97" s="15" t="s">
        <v>118</v>
      </c>
      <c r="C97" s="16" t="s">
        <v>8</v>
      </c>
      <c r="D97" s="20" t="s">
        <v>25</v>
      </c>
      <c r="E97" s="20" t="s">
        <v>49</v>
      </c>
      <c r="F97" s="16" t="s">
        <v>15</v>
      </c>
      <c r="G97" s="16" t="n">
        <v>0</v>
      </c>
    </row>
    <row r="98" customFormat="false" ht="35.05" hidden="false" customHeight="false" outlineLevel="0" collapsed="false">
      <c r="A98" s="7" t="n">
        <v>97</v>
      </c>
      <c r="B98" s="15" t="s">
        <v>119</v>
      </c>
      <c r="C98" s="16" t="s">
        <v>13</v>
      </c>
      <c r="D98" s="20" t="s">
        <v>19</v>
      </c>
      <c r="E98" s="20" t="s">
        <v>19</v>
      </c>
      <c r="F98" s="16" t="s">
        <v>15</v>
      </c>
      <c r="G98" s="16" t="n">
        <v>0</v>
      </c>
    </row>
    <row r="99" customFormat="false" ht="12.8" hidden="false" customHeight="false" outlineLevel="0" collapsed="false">
      <c r="A99" s="7" t="n">
        <v>98</v>
      </c>
      <c r="B99" s="15" t="s">
        <v>120</v>
      </c>
      <c r="C99" s="16" t="s">
        <v>13</v>
      </c>
      <c r="D99" s="20" t="s">
        <v>19</v>
      </c>
      <c r="E99" s="20" t="s">
        <v>49</v>
      </c>
      <c r="F99" s="16" t="s">
        <v>15</v>
      </c>
      <c r="G99" s="16" t="n">
        <v>1</v>
      </c>
    </row>
    <row r="100" customFormat="false" ht="12.8" hidden="false" customHeight="false" outlineLevel="0" collapsed="false">
      <c r="A100" s="7" t="n">
        <v>99</v>
      </c>
      <c r="B100" s="15" t="s">
        <v>121</v>
      </c>
      <c r="C100" s="16" t="s">
        <v>13</v>
      </c>
      <c r="D100" s="20" t="s">
        <v>23</v>
      </c>
      <c r="E100" s="20" t="s">
        <v>54</v>
      </c>
      <c r="F100" s="16" t="s">
        <v>10</v>
      </c>
      <c r="G100" s="16" t="n">
        <v>1</v>
      </c>
    </row>
    <row r="101" customFormat="false" ht="23.85" hidden="false" customHeight="false" outlineLevel="0" collapsed="false">
      <c r="A101" s="7" t="n">
        <v>100</v>
      </c>
      <c r="B101" s="15" t="s">
        <v>122</v>
      </c>
      <c r="C101" s="16" t="s">
        <v>13</v>
      </c>
      <c r="D101" s="20" t="s">
        <v>29</v>
      </c>
      <c r="E101" s="20" t="s">
        <v>49</v>
      </c>
      <c r="F101" s="16" t="s">
        <v>15</v>
      </c>
      <c r="G101" s="16" t="n">
        <v>0</v>
      </c>
    </row>
    <row r="102" customFormat="false" ht="12.8" hidden="false" customHeight="false" outlineLevel="0" collapsed="false">
      <c r="A102" s="7" t="n">
        <v>101</v>
      </c>
      <c r="B102" s="15" t="s">
        <v>123</v>
      </c>
      <c r="C102" s="16" t="s">
        <v>13</v>
      </c>
      <c r="D102" s="20" t="s">
        <v>19</v>
      </c>
      <c r="E102" s="20" t="s">
        <v>49</v>
      </c>
      <c r="F102" s="16" t="s">
        <v>15</v>
      </c>
      <c r="G102" s="16" t="n">
        <v>0</v>
      </c>
    </row>
    <row r="103" customFormat="false" ht="23.85" hidden="false" customHeight="false" outlineLevel="0" collapsed="false">
      <c r="A103" s="7" t="n">
        <v>102</v>
      </c>
      <c r="B103" s="15" t="s">
        <v>124</v>
      </c>
      <c r="C103" s="16" t="s">
        <v>13</v>
      </c>
      <c r="D103" s="20" t="s">
        <v>19</v>
      </c>
      <c r="E103" s="20" t="s">
        <v>49</v>
      </c>
      <c r="F103" s="16" t="s">
        <v>15</v>
      </c>
      <c r="G103" s="16" t="n">
        <v>0</v>
      </c>
    </row>
    <row r="104" customFormat="false" ht="23.85" hidden="false" customHeight="false" outlineLevel="0" collapsed="false">
      <c r="A104" s="7" t="n">
        <v>103</v>
      </c>
      <c r="B104" s="15" t="s">
        <v>125</v>
      </c>
      <c r="C104" s="16" t="s">
        <v>13</v>
      </c>
      <c r="D104" s="20" t="s">
        <v>18</v>
      </c>
      <c r="E104" s="20" t="s">
        <v>49</v>
      </c>
      <c r="F104" s="16" t="s">
        <v>15</v>
      </c>
      <c r="G104" s="16" t="n">
        <v>0</v>
      </c>
    </row>
  </sheetData>
  <dataValidations count="3">
    <dataValidation allowBlank="true" errorStyle="stop" operator="equal" showDropDown="false" showErrorMessage="true" showInputMessage="false" sqref="C2:C28 C30:C1036" type="list">
      <formula1>Действия!$A$2:$A$26</formula1>
      <formula2>0</formula2>
    </dataValidation>
    <dataValidation allowBlank="true" errorStyle="stop" operator="equal" showDropDown="false" showErrorMessage="true" showInputMessage="false" sqref="D2:D1036" type="list">
      <formula1>Паки!$A$2:$A$25</formula1>
      <formula2>0</formula2>
    </dataValidation>
    <dataValidation allowBlank="true" errorStyle="stop" operator="equal" showDropDown="false" showErrorMessage="true" showInputMessage="false" sqref="E2:E1036" type="list">
      <formula1>Грани!$A$2:$A$25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8.79"/>
    <col collapsed="false" customWidth="true" hidden="false" outlineLevel="0" max="2" min="2" style="4" width="3.89"/>
    <col collapsed="false" customWidth="true" hidden="false" outlineLevel="0" max="3" min="3" style="4" width="94.88"/>
  </cols>
  <sheetData>
    <row r="1" customFormat="false" ht="12.8" hidden="false" customHeight="false" outlineLevel="0" collapsed="false">
      <c r="A1" s="14" t="s">
        <v>126</v>
      </c>
      <c r="B1" s="14" t="s">
        <v>127</v>
      </c>
      <c r="C1" s="14"/>
    </row>
    <row r="2" customFormat="false" ht="15" hidden="false" customHeight="true" outlineLevel="0" collapsed="false">
      <c r="A2" s="20" t="s">
        <v>19</v>
      </c>
      <c r="B2" s="21" t="s">
        <v>128</v>
      </c>
      <c r="C2" s="21"/>
    </row>
    <row r="3" customFormat="false" ht="15" hidden="false" customHeight="true" outlineLevel="0" collapsed="false">
      <c r="A3" s="20" t="s">
        <v>18</v>
      </c>
      <c r="B3" s="21" t="s">
        <v>129</v>
      </c>
      <c r="C3" s="21"/>
    </row>
    <row r="4" customFormat="false" ht="26.85" hidden="false" customHeight="true" outlineLevel="0" collapsed="false">
      <c r="A4" s="20" t="s">
        <v>9</v>
      </c>
      <c r="B4" s="21" t="s">
        <v>130</v>
      </c>
      <c r="C4" s="21"/>
    </row>
    <row r="5" customFormat="false" ht="26.85" hidden="false" customHeight="true" outlineLevel="0" collapsed="false">
      <c r="A5" s="20" t="s">
        <v>23</v>
      </c>
      <c r="B5" s="21" t="s">
        <v>131</v>
      </c>
      <c r="C5" s="21"/>
    </row>
    <row r="6" customFormat="false" ht="15" hidden="false" customHeight="true" outlineLevel="0" collapsed="false">
      <c r="A6" s="20" t="s">
        <v>25</v>
      </c>
      <c r="B6" s="21" t="s">
        <v>132</v>
      </c>
      <c r="C6" s="21"/>
    </row>
    <row r="7" customFormat="false" ht="15" hidden="false" customHeight="true" outlineLevel="0" collapsed="false">
      <c r="A7" s="20" t="s">
        <v>27</v>
      </c>
      <c r="B7" s="21" t="s">
        <v>133</v>
      </c>
      <c r="C7" s="21"/>
    </row>
    <row r="8" customFormat="false" ht="15" hidden="false" customHeight="true" outlineLevel="0" collapsed="false">
      <c r="A8" s="20" t="s">
        <v>29</v>
      </c>
      <c r="B8" s="21" t="s">
        <v>134</v>
      </c>
      <c r="C8" s="21"/>
    </row>
    <row r="9" customFormat="false" ht="15" hidden="false" customHeight="true" outlineLevel="0" collapsed="false">
      <c r="A9" s="20" t="s">
        <v>14</v>
      </c>
      <c r="B9" s="21" t="s">
        <v>135</v>
      </c>
      <c r="C9" s="21"/>
    </row>
  </sheetData>
  <mergeCells count="9"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4" width="86.94"/>
  </cols>
  <sheetData>
    <row r="1" customFormat="false" ht="12.8" hidden="false" customHeight="false" outlineLevel="0" collapsed="false">
      <c r="A1" s="14" t="s">
        <v>136</v>
      </c>
      <c r="B1" s="14" t="s">
        <v>137</v>
      </c>
      <c r="C1" s="14" t="s">
        <v>138</v>
      </c>
    </row>
    <row r="2" customFormat="false" ht="32.05" hidden="false" customHeight="true" outlineLevel="0" collapsed="false">
      <c r="A2" s="20" t="s">
        <v>49</v>
      </c>
      <c r="B2" s="16" t="n">
        <v>0</v>
      </c>
      <c r="C2" s="21" t="s">
        <v>139</v>
      </c>
    </row>
    <row r="3" customFormat="false" ht="15" hidden="false" customHeight="false" outlineLevel="0" collapsed="false">
      <c r="A3" s="20" t="s">
        <v>19</v>
      </c>
      <c r="B3" s="16" t="n">
        <v>1</v>
      </c>
      <c r="C3" s="22" t="s">
        <v>140</v>
      </c>
    </row>
    <row r="4" customFormat="false" ht="15" hidden="false" customHeight="false" outlineLevel="0" collapsed="false">
      <c r="A4" s="20" t="s">
        <v>54</v>
      </c>
      <c r="B4" s="16" t="n">
        <v>2</v>
      </c>
      <c r="C4" s="22" t="s">
        <v>141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4" width="42.85"/>
  </cols>
  <sheetData>
    <row r="1" customFormat="false" ht="12.8" hidden="false" customHeight="false" outlineLevel="0" collapsed="false">
      <c r="A1" s="23" t="s">
        <v>13</v>
      </c>
      <c r="B1" s="23" t="s">
        <v>142</v>
      </c>
    </row>
    <row r="2" customFormat="false" ht="12.8" hidden="false" customHeight="false" outlineLevel="0" collapsed="false">
      <c r="A2" s="4" t="s">
        <v>8</v>
      </c>
      <c r="B2" s="4" t="s">
        <v>143</v>
      </c>
    </row>
    <row r="3" customFormat="false" ht="12.8" hidden="false" customHeight="false" outlineLevel="0" collapsed="false">
      <c r="A3" s="4" t="s">
        <v>13</v>
      </c>
      <c r="B3" s="4" t="s">
        <v>144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2026-08-13T08:17:19Z</dcterms:created>
  <dc:creator/>
  <dc:description/>
  <dc:language>ru-RU</dc:language>
  <cp:lastModifiedBy/>
  <dcterms:modified xsi:type="dcterms:W3CDTF">2026-08-23T22:22:01Z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